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Pam_card\processing\"/>
    </mc:Choice>
  </mc:AlternateContent>
  <xr:revisionPtr revIDLastSave="0" documentId="8_{E95473B1-01E9-47E9-84C0-07440E2D0AB3}" xr6:coauthVersionLast="47" xr6:coauthVersionMax="47" xr10:uidLastSave="{00000000-0000-0000-0000-000000000000}"/>
  <bookViews>
    <workbookView xWindow="-108" yWindow="-108" windowWidth="23256" windowHeight="12456" xr2:uid="{FF923D9B-96E6-48F2-8550-ECD6D93F00D6}"/>
  </bookViews>
  <sheets>
    <sheet name="Hold_Cutting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1" i="1" l="1"/>
  <c r="AF1" i="1"/>
  <c r="AG1" i="1"/>
  <c r="AH1" i="1"/>
  <c r="AI1" i="1"/>
  <c r="AJ1" i="1"/>
  <c r="AK1" i="1"/>
  <c r="AL1" i="1"/>
  <c r="AK21" i="1" l="1" a="1"/>
  <c r="AK21" i="1" s="1"/>
  <c r="AB1" i="1" l="1"/>
  <c r="AC1" i="1"/>
  <c r="AD1" i="1"/>
  <c r="J1" i="1" l="1"/>
  <c r="Y1" i="1" l="1"/>
  <c r="Z1" i="1"/>
  <c r="AA1" i="1"/>
  <c r="N1" i="1" l="1"/>
  <c r="B1" i="1"/>
  <c r="C1" i="1"/>
  <c r="D1" i="1"/>
  <c r="E1" i="1"/>
  <c r="AK18" i="1" s="1"/>
  <c r="F1" i="1"/>
  <c r="G1" i="1"/>
  <c r="H1" i="1"/>
  <c r="I1" i="1"/>
  <c r="K1" i="1"/>
  <c r="O1" i="1"/>
  <c r="P1" i="1"/>
  <c r="Q1" i="1"/>
  <c r="R1" i="1"/>
  <c r="S1" i="1"/>
  <c r="T1" i="1"/>
  <c r="U1" i="1"/>
  <c r="V1" i="1"/>
  <c r="W1" i="1"/>
  <c r="X1" i="1"/>
  <c r="A1" i="1"/>
  <c r="AK11" i="1"/>
  <c r="AJ2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<sst xmlns="http://schemas.openxmlformats.org/spreadsheetml/2006/main" count="88" uniqueCount="87">
  <si>
    <t>Code</t>
  </si>
  <si>
    <t>ContractID</t>
  </si>
  <si>
    <t>Cname</t>
  </si>
  <si>
    <t>Port</t>
  </si>
  <si>
    <t>Product</t>
  </si>
  <si>
    <t>Curr_status</t>
  </si>
  <si>
    <t>Mode</t>
  </si>
  <si>
    <t>PM_code</t>
  </si>
  <si>
    <t>Amount</t>
  </si>
  <si>
    <t>exp_balance</t>
  </si>
  <si>
    <t>otl_balance</t>
  </si>
  <si>
    <t>lss_balance</t>
  </si>
  <si>
    <t>pnt_balance</t>
  </si>
  <si>
    <t>int_balance</t>
  </si>
  <si>
    <t>opc_balance</t>
  </si>
  <si>
    <t>chg_balance</t>
  </si>
  <si>
    <t>prn_balance</t>
  </si>
  <si>
    <t>rpm_balance</t>
  </si>
  <si>
    <t>all_balance</t>
  </si>
  <si>
    <t>Count_payment</t>
  </si>
  <si>
    <t>to card</t>
  </si>
  <si>
    <t>to report</t>
  </si>
  <si>
    <t>From Card</t>
  </si>
  <si>
    <t>Z</t>
  </si>
  <si>
    <t>AA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</si>
  <si>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</si>
  <si>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</si>
  <si>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</si>
  <si>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</si>
  <si>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</si>
  <si>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</si>
  <si>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</si>
  <si>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</si>
  <si>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</si>
  <si>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</si>
  <si>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G</t>
  </si>
  <si>
    <t>AX</t>
  </si>
  <si>
    <t>BA</t>
  </si>
  <si>
    <t>BD</t>
  </si>
  <si>
    <t>BG</t>
  </si>
  <si>
    <t>BK</t>
  </si>
  <si>
    <t>BN</t>
  </si>
  <si>
    <t>BQ</t>
  </si>
  <si>
    <t>BT</t>
  </si>
  <si>
    <t>BW</t>
  </si>
  <si>
    <t>BZ</t>
  </si>
  <si>
    <t>Date</t>
  </si>
  <si>
    <t>Path</t>
  </si>
  <si>
    <t xml:space="preserve">File-Password </t>
  </si>
  <si>
    <t>User</t>
  </si>
  <si>
    <t>Note</t>
  </si>
  <si>
    <t>pm</t>
  </si>
  <si>
    <t>DocID</t>
  </si>
  <si>
    <t>b4</t>
  </si>
  <si>
    <t>Eff_Date</t>
  </si>
  <si>
    <t>Status_Program</t>
  </si>
  <si>
    <t>Remark</t>
  </si>
  <si>
    <t>Update Payment</t>
  </si>
  <si>
    <t>outstanding_balance_excluding_vat</t>
  </si>
  <si>
    <t>vat_remain</t>
  </si>
  <si>
    <t>outstanding_balance_including_vat</t>
  </si>
  <si>
    <t>Rows</t>
  </si>
  <si>
    <t>Total_vat</t>
  </si>
  <si>
    <t>Total_pay</t>
  </si>
  <si>
    <t>loss_status</t>
  </si>
  <si>
    <t>No information</t>
  </si>
  <si>
    <t>TotalID</t>
  </si>
  <si>
    <t>Total_sus</t>
  </si>
  <si>
    <t>Total_ass</t>
  </si>
  <si>
    <t>Expense</t>
  </si>
  <si>
    <t>Done</t>
  </si>
  <si>
    <t>update Status file Path</t>
  </si>
  <si>
    <t>mail_content</t>
  </si>
  <si>
    <t>ขอบคุณครับ</t>
  </si>
  <si>
    <t>aabbcc</t>
  </si>
  <si>
    <t>port</t>
  </si>
  <si>
    <t>product</t>
  </si>
  <si>
    <t>status</t>
  </si>
  <si>
    <t>mode</t>
  </si>
  <si>
    <t xml:space="preserve">เรียนทีม </t>
  </si>
  <si>
    <t>password</t>
  </si>
  <si>
    <t>user</t>
  </si>
  <si>
    <t>A</t>
  </si>
  <si>
    <t>B</t>
  </si>
  <si>
    <t>C</t>
  </si>
  <si>
    <t>D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</si>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</sst>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-* #,##0.00_-;\-* #,##0.00_-;_-* &quot;-&quot;??_-;_-@_-"/>
    <numFmt numFmtId="165" formatCode="[$-409]d/mmm/yyyy;@"/>
  </numFmts>
  <fonts count="1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0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2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theme="1"/>
      <name val="Aptos Narrow"/>
      <family val="2"/>
      <charset val="22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96C8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indexed="64"/>
      </right>
      <top style="thin">
        <color theme="4" tint="0.39997558519241921"/>
      </top>
      <bottom/>
      <diagonal/>
    </border>
  </borders>
  <cellStyleXfs count="7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</cellStyleXfs>
  <cellXfs count="40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14" fontId="0" fillId="0" borderId="0" xfId="0" applyNumberFormat="1"/>
    <xf numFmtId="0" fontId="0" fillId="0" borderId="0" xfId="0" applyProtection="1">
      <protection locked="0"/>
    </xf>
    <xf numFmtId="164" fontId="0" fillId="0" borderId="0" xfId="1" applyFont="1" applyProtection="1">
      <protection locked="0"/>
    </xf>
    <xf numFmtId="0" fontId="2" fillId="3" borderId="2" xfId="0" applyFont="1" applyFill="1" applyBorder="1" applyAlignment="1" applyProtection="1">
      <alignment horizontal="center" vertical="center" wrapText="1"/>
      <protection locked="0"/>
    </xf>
    <xf numFmtId="0" fontId="2" fillId="2" borderId="2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164" fontId="2" fillId="3" borderId="2" xfId="1" applyFont="1" applyFill="1" applyBorder="1" applyAlignment="1" applyProtection="1">
      <alignment horizontal="center" vertical="center" wrapText="1"/>
      <protection locked="0"/>
    </xf>
    <xf numFmtId="0" fontId="6" fillId="11" borderId="0" xfId="1" applyNumberFormat="1" applyFont="1" applyFill="1" applyAlignment="1" applyProtection="1">
      <protection locked="0"/>
    </xf>
    <xf numFmtId="0" fontId="0" fillId="10" borderId="0" xfId="0" applyFill="1" applyAlignment="1" applyProtection="1">
      <alignment horizontal="center" vertical="center" wrapText="1"/>
      <protection locked="0"/>
    </xf>
    <xf numFmtId="0" fontId="0" fillId="5" borderId="1" xfId="0" applyFill="1" applyBorder="1"/>
    <xf numFmtId="0" fontId="2" fillId="2" borderId="5" xfId="0" applyFont="1" applyFill="1" applyBorder="1" applyAlignment="1" applyProtection="1">
      <alignment horizontal="center" vertical="center" wrapText="1"/>
      <protection locked="0"/>
    </xf>
    <xf numFmtId="164" fontId="3" fillId="4" borderId="4" xfId="1" applyFont="1" applyFill="1" applyBorder="1" applyAlignment="1" applyProtection="1">
      <alignment horizontal="center" vertical="center" wrapText="1"/>
      <protection locked="0"/>
    </xf>
    <xf numFmtId="164" fontId="3" fillId="5" borderId="4" xfId="1" applyFont="1" applyFill="1" applyBorder="1" applyAlignment="1" applyProtection="1">
      <alignment horizontal="center" vertical="center" wrapText="1"/>
      <protection locked="0"/>
    </xf>
    <xf numFmtId="164" fontId="3" fillId="6" borderId="4" xfId="1" applyFont="1" applyFill="1" applyBorder="1" applyAlignment="1" applyProtection="1">
      <alignment horizontal="center" vertical="center" wrapText="1"/>
      <protection locked="0"/>
    </xf>
    <xf numFmtId="164" fontId="3" fillId="7" borderId="4" xfId="1" applyFont="1" applyFill="1" applyBorder="1" applyAlignment="1" applyProtection="1">
      <alignment horizontal="center" vertical="center" wrapText="1"/>
      <protection locked="0"/>
    </xf>
    <xf numFmtId="164" fontId="3" fillId="8" borderId="4" xfId="1" applyFont="1" applyFill="1" applyBorder="1" applyAlignment="1" applyProtection="1">
      <alignment horizontal="center" vertical="center" wrapText="1"/>
      <protection locked="0"/>
    </xf>
    <xf numFmtId="164" fontId="3" fillId="8" borderId="3" xfId="1" applyFont="1" applyFill="1" applyBorder="1" applyAlignment="1" applyProtection="1">
      <alignment horizontal="center" vertical="center" wrapText="1"/>
      <protection locked="0"/>
    </xf>
    <xf numFmtId="164" fontId="3" fillId="9" borderId="6" xfId="1" applyFont="1" applyFill="1" applyBorder="1" applyAlignment="1" applyProtection="1">
      <alignment horizontal="center" vertical="center" wrapText="1"/>
      <protection locked="0"/>
    </xf>
    <xf numFmtId="0" fontId="7" fillId="12" borderId="4" xfId="1" applyNumberFormat="1" applyFont="1" applyFill="1" applyBorder="1" applyAlignment="1" applyProtection="1">
      <protection locked="0"/>
    </xf>
    <xf numFmtId="164" fontId="4" fillId="2" borderId="2" xfId="1" applyFont="1" applyFill="1" applyBorder="1" applyAlignment="1" applyProtection="1">
      <alignment horizontal="center" vertical="center"/>
      <protection locked="0"/>
    </xf>
    <xf numFmtId="164" fontId="4" fillId="2" borderId="0" xfId="1" applyFont="1" applyFill="1" applyBorder="1" applyAlignment="1" applyProtection="1">
      <alignment horizontal="center" vertical="center"/>
      <protection locked="0"/>
    </xf>
    <xf numFmtId="0" fontId="8" fillId="13" borderId="0" xfId="1" applyNumberFormat="1" applyFont="1" applyFill="1" applyAlignment="1" applyProtection="1">
      <protection locked="0"/>
    </xf>
    <xf numFmtId="0" fontId="0" fillId="14" borderId="0" xfId="0" applyFill="1"/>
    <xf numFmtId="0" fontId="0" fillId="15" borderId="0" xfId="0" applyFill="1"/>
    <xf numFmtId="165" fontId="2" fillId="3" borderId="0" xfId="0" applyNumberFormat="1" applyFont="1" applyFill="1" applyAlignment="1" applyProtection="1">
      <alignment horizontal="center" vertical="center" wrapText="1"/>
      <protection locked="0"/>
    </xf>
    <xf numFmtId="165" fontId="0" fillId="0" borderId="0" xfId="0" applyNumberFormat="1" applyProtection="1">
      <protection locked="0"/>
    </xf>
    <xf numFmtId="164" fontId="2" fillId="3" borderId="0" xfId="1" applyFont="1" applyFill="1" applyBorder="1" applyAlignment="1" applyProtection="1">
      <alignment horizontal="center" vertical="center" wrapText="1"/>
      <protection locked="0"/>
    </xf>
    <xf numFmtId="0" fontId="0" fillId="5" borderId="0" xfId="0" applyFill="1"/>
    <xf numFmtId="0" fontId="0" fillId="16" borderId="0" xfId="0" applyFill="1"/>
    <xf numFmtId="0" fontId="0" fillId="6" borderId="0" xfId="0" applyFill="1"/>
    <xf numFmtId="0" fontId="0" fillId="17" borderId="0" xfId="0" applyFill="1"/>
    <xf numFmtId="14" fontId="0" fillId="18" borderId="0" xfId="0" applyNumberFormat="1" applyFill="1"/>
    <xf numFmtId="14" fontId="0" fillId="0" borderId="0" xfId="0" applyNumberFormat="1" applyProtection="1">
      <protection locked="0"/>
    </xf>
    <xf numFmtId="14" fontId="2" fillId="3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Alignment="1">
      <alignment horizontal="center"/>
    </xf>
    <xf numFmtId="0" fontId="0" fillId="0" borderId="0" xfId="0" applyFill="1"/>
    <xf numFmtId="14" fontId="0" fillId="0" borderId="0" xfId="0" applyNumberFormat="1" applyFill="1"/>
  </cellXfs>
  <cellStyles count="7">
    <cellStyle name="Comma" xfId="1" builtinId="3"/>
    <cellStyle name="Comma 2" xfId="2" xr:uid="{A8A02A9A-00C1-49DC-832A-4EE925613E45}"/>
    <cellStyle name="Comma 2 2" xfId="6" xr:uid="{42D877A8-A7DB-47AB-8CBA-C755FFADFE90}"/>
    <cellStyle name="Comma 3" xfId="3" xr:uid="{B32A2885-BCD7-4743-A900-50D9AA8617D9}"/>
    <cellStyle name="Comma 4" xfId="4" xr:uid="{14E65B17-6771-4558-82A5-CA7784218F22}"/>
    <cellStyle name="Normal" xfId="0" builtinId="0"/>
    <cellStyle name="Normal 2" xfId="5" xr:uid="{8F3C0D1B-816F-40E1-A1BE-E80C667BD184}"/>
  </cellStyles>
  <dxfs count="3">
    <dxf>
      <numFmt numFmtId="19" formatCode="dd/mm/yy"/>
    </dxf>
    <dxf>
      <protection locked="0" hidden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57150</xdr:colOff>
      <xdr:row>5</xdr:row>
      <xdr:rowOff>47625</xdr:rowOff>
    </xdr:from>
    <xdr:to>
      <xdr:col>38</xdr:col>
      <xdr:colOff>561975</xdr:colOff>
      <xdr:row>7</xdr:row>
      <xdr:rowOff>142875</xdr:rowOff>
    </xdr:to>
    <xdr:sp macro="[0]!Rectangle1_Click" textlink="">
      <xdr:nvSpPr>
        <xdr:cNvPr id="2" name="Rectangle 1">
          <a:extLst>
            <a:ext uri="{FF2B5EF4-FFF2-40B4-BE49-F238E27FC236}">
              <a16:creationId xmlns:a16="http://schemas.microsoft.com/office/drawing/2014/main" id="{06CFFA23-F5FB-D310-F93B-DE58F2C88695}"/>
            </a:ext>
          </a:extLst>
        </xdr:cNvPr>
        <xdr:cNvSpPr/>
      </xdr:nvSpPr>
      <xdr:spPr>
        <a:xfrm>
          <a:off x="14687550" y="1114425"/>
          <a:ext cx="2943225" cy="4572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Run</a:t>
          </a:r>
          <a:r>
            <a:rPr lang="en-US" sz="2400" baseline="0"/>
            <a:t> Cut Off</a:t>
          </a:r>
        </a:p>
        <a:p>
          <a:pPr algn="ctr"/>
          <a:endParaRPr 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62392A-C6E2-4FC9-8348-2ED9EC139C11}" name="Payment_list" displayName="Payment_list" ref="A5:AH75" totalsRowShown="0" headerRowDxfId="1">
  <autoFilter ref="A5:AH75" xr:uid="{1D62392A-C6E2-4FC9-8348-2ED9EC139C11}"/>
  <sortState xmlns:xlrd2="http://schemas.microsoft.com/office/spreadsheetml/2017/richdata2" ref="A6:AH75">
    <sortCondition ref="M5:M75"/>
  </sortState>
  <tableColumns count="34">
    <tableColumn id="1" xr3:uid="{2E630B8C-0C0A-4A91-8B09-FEDC5CAD90BB}" name="Remark"/>
    <tableColumn id="2" xr3:uid="{A74D9E26-E736-40FE-A245-1D45738C6F35}" name="Code"/>
    <tableColumn id="3" xr3:uid="{996C67CF-1E04-49C0-B797-E7D14A3BF218}" name="ContractID"/>
    <tableColumn id="4" xr3:uid="{326AD7EA-F6B2-4A1B-9ACB-DC211AE0797E}" name="Cname"/>
    <tableColumn id="5" xr3:uid="{DC2C7942-66A1-48CF-93A0-3468EF588DE5}" name="Port"/>
    <tableColumn id="6" xr3:uid="{96CC1DDD-95E3-424F-A144-985F50A99796}" name="Product"/>
    <tableColumn id="7" xr3:uid="{9690ED91-7C6D-41EC-9DE2-52BEFD2B2203}" name="Curr_status"/>
    <tableColumn id="8" xr3:uid="{EA599727-73DF-4169-B7F2-65273E4ECA60}" name="Mode"/>
    <tableColumn id="9" xr3:uid="{B5A8ADA5-8316-4091-A732-FAC78B011AA0}" name="DocID"/>
    <tableColumn id="10" xr3:uid="{5F5BB17D-96ED-4F50-B86C-DD446E132F67}" name="PM_code"/>
    <tableColumn id="11" xr3:uid="{94992748-0B5C-40FD-9197-E1E624C6F58A}" name="Amount"/>
    <tableColumn id="35" xr3:uid="{C4D53CD0-1D2E-4E6B-A732-602D217A9EE6}" name="Expense"/>
    <tableColumn id="27" xr3:uid="{DD5D46AB-B077-4ABB-A076-0C8D7F683EF1}" name="Eff_Date" dataDxfId="0"/>
    <tableColumn id="25" xr3:uid="{0A035B38-9FFF-41B7-ADC7-F3A1DE924046}" name="Note"/>
    <tableColumn id="12" xr3:uid="{E696E7EB-241F-4EC7-A0B6-4350877E0DA7}" name="exp_balance"/>
    <tableColumn id="13" xr3:uid="{1D12B858-2AA7-4D98-93B8-F00DFCFF2825}" name="otl_balance"/>
    <tableColumn id="14" xr3:uid="{9CAE4AF1-6EBD-48D6-B15E-CEC687D26D1C}" name="lss_balance"/>
    <tableColumn id="15" xr3:uid="{6235F094-7E77-4B70-9BF7-F74EC394A953}" name="pnt_balance"/>
    <tableColumn id="16" xr3:uid="{C12F7AE5-42D4-484D-A1D1-C2C4A058A788}" name="int_balance"/>
    <tableColumn id="17" xr3:uid="{5CF892B9-818E-4EA9-A176-E36E1989D343}" name="opc_balance"/>
    <tableColumn id="18" xr3:uid="{75AF8E4C-BCD5-4D92-888E-4B7B593563E3}" name="chg_balance"/>
    <tableColumn id="19" xr3:uid="{FFAAB8C9-7B3D-4BC4-89FC-092C123D2380}" name="prn_balance"/>
    <tableColumn id="20" xr3:uid="{FE3FE72E-D1D3-47D4-AB05-D1B16043A119}" name="rpm_balance"/>
    <tableColumn id="21" xr3:uid="{D58064C3-4120-4472-B7E2-E6754CE7A6B5}" name="all_balance"/>
    <tableColumn id="28" xr3:uid="{5EB70CD1-BCA2-492D-B17D-8567546BD234}" name="outstanding_balance_excluding_vat"/>
    <tableColumn id="26" xr3:uid="{4FEB0FE5-1685-4913-9F4C-C8BAB4746EE6}" name="vat_remain"/>
    <tableColumn id="29" xr3:uid="{40F7069C-B442-498A-BE8B-530452CBE731}" name="outstanding_balance_including_vat"/>
    <tableColumn id="31" xr3:uid="{83F9D133-4FBF-4F6B-B953-0EE031AA68CE}" name="loss_status"/>
    <tableColumn id="22" xr3:uid="{718019AA-DAC4-45AF-966F-FA1A8EDD5D98}" name="Count_payment"/>
    <tableColumn id="23" xr3:uid="{B88AB769-1929-449E-8965-D2AB51E76434}" name="Total_pay"/>
    <tableColumn id="32" xr3:uid="{F3D7049C-3FB5-4523-A25C-0E03CF449965}" name="Total_sus"/>
    <tableColumn id="33" xr3:uid="{87404570-94E2-4ACE-969D-3473D6DA15BE}" name="Total_ass"/>
    <tableColumn id="30" xr3:uid="{64BFA3C8-4590-4FB8-B4FF-CB412EB0E39F}" name="Total_vat"/>
    <tableColumn id="24" xr3:uid="{0130C164-E61B-4687-BBA3-0A2FA297A112}" name="Status_Progra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EA3AA-3CB1-44FD-A145-6C63FCF4F097}">
  <sheetPr codeName="Sheet1"/>
  <dimension ref="A1:AN75"/>
  <sheetViews>
    <sheetView tabSelected="1" topLeftCell="N1" zoomScale="55" zoomScaleNormal="55" workbookViewId="0">
      <selection activeCell="AM19" sqref="AM19"/>
    </sheetView>
  </sheetViews>
  <sheetFormatPr defaultColWidth="14.77734375" defaultRowHeight="14.4" x14ac:dyDescent="0.3"/>
  <cols>
    <col min="1" max="1" width="9.44140625" style="4" customWidth="1"/>
    <col min="2" max="6" width="14.77734375" style="4"/>
    <col min="7" max="7" width="24.109375" style="4" bestFit="1" customWidth="1"/>
    <col min="8" max="10" width="14.77734375" style="4"/>
    <col min="11" max="12" width="14.77734375" style="5"/>
    <col min="13" max="13" width="14.77734375" style="35"/>
    <col min="14" max="14" width="14.77734375" style="28"/>
    <col min="15" max="24" width="10.44140625" style="4" customWidth="1"/>
    <col min="25" max="29" width="14.77734375" style="4"/>
    <col min="30" max="33" width="14.77734375" style="5"/>
    <col min="34" max="34" width="14.77734375" style="4"/>
    <col min="40" max="40" width="32" bestFit="1" customWidth="1"/>
  </cols>
  <sheetData>
    <row r="1" spans="1:40" x14ac:dyDescent="0.3">
      <c r="A1" s="4">
        <f>COLUMN(Payment_list[[#Headers],[Remark]])</f>
        <v>1</v>
      </c>
      <c r="B1" s="4">
        <f>COLUMN(Payment_list[[#Headers],[Code]])</f>
        <v>2</v>
      </c>
      <c r="C1" s="4">
        <f>COLUMN(Payment_list[[#Headers],[ContractID]])</f>
        <v>3</v>
      </c>
      <c r="D1" s="4">
        <f>COLUMN(Payment_list[[#Headers],[Cname]])</f>
        <v>4</v>
      </c>
      <c r="E1" s="4">
        <f>COLUMN(Payment_list[[#Headers],[Port]])</f>
        <v>5</v>
      </c>
      <c r="F1" s="4">
        <f>COLUMN(Payment_list[[#Headers],[Product]])</f>
        <v>6</v>
      </c>
      <c r="G1" s="4">
        <f>COLUMN(Payment_list[[#Headers],[Curr_status]])</f>
        <v>7</v>
      </c>
      <c r="H1" s="4">
        <f>COLUMN(Payment_list[[#Headers],[Mode]])</f>
        <v>8</v>
      </c>
      <c r="I1" s="4">
        <f>COLUMN(Payment_list[[#Headers],[DocID]])</f>
        <v>9</v>
      </c>
      <c r="J1" s="4">
        <f>COLUMN(Payment_list[[#Headers],[PM_code]])</f>
        <v>10</v>
      </c>
      <c r="K1" s="5">
        <f>COLUMN(Payment_list[[#Headers],[Amount]])</f>
        <v>11</v>
      </c>
      <c r="N1" s="28">
        <f>COLUMN(Payment_list[[#Headers],[Note]])</f>
        <v>14</v>
      </c>
      <c r="O1" s="4">
        <f>COLUMN(Payment_list[[#Headers],[exp_balance]])</f>
        <v>15</v>
      </c>
      <c r="P1" s="4">
        <f>COLUMN(Payment_list[[#Headers],[otl_balance]])</f>
        <v>16</v>
      </c>
      <c r="Q1" s="4">
        <f>COLUMN(Payment_list[[#Headers],[lss_balance]])</f>
        <v>17</v>
      </c>
      <c r="R1" s="4">
        <f>COLUMN(Payment_list[[#Headers],[pnt_balance]])</f>
        <v>18</v>
      </c>
      <c r="S1" s="4">
        <f>COLUMN(Payment_list[[#Headers],[int_balance]])</f>
        <v>19</v>
      </c>
      <c r="T1" s="4">
        <f>COLUMN(Payment_list[[#Headers],[opc_balance]])</f>
        <v>20</v>
      </c>
      <c r="U1" s="4">
        <f>COLUMN(Payment_list[[#Headers],[chg_balance]])</f>
        <v>21</v>
      </c>
      <c r="V1" s="4">
        <f>COLUMN(Payment_list[[#Headers],[prn_balance]])</f>
        <v>22</v>
      </c>
      <c r="W1" s="4">
        <f>COLUMN(Payment_list[[#Headers],[rpm_balance]])</f>
        <v>23</v>
      </c>
      <c r="X1" s="4">
        <f>COLUMN(Payment_list[[#Headers],[all_balance]])</f>
        <v>24</v>
      </c>
      <c r="Y1" s="4">
        <f>COLUMN(Payment_list[[#Headers],[outstanding_balance_excluding_vat]])</f>
        <v>25</v>
      </c>
      <c r="Z1" s="4">
        <f>COLUMN(Payment_list[[#Headers],[vat_remain]])</f>
        <v>26</v>
      </c>
      <c r="AA1" s="4">
        <f>COLUMN(Payment_list[[#Headers],[outstanding_balance_including_vat]])</f>
        <v>27</v>
      </c>
      <c r="AB1" s="4">
        <f>COLUMN(Payment_list[[#Headers],[loss_status]])</f>
        <v>28</v>
      </c>
      <c r="AC1" s="4">
        <f>COLUMN(Payment_list[[#Headers],[Count_payment]])</f>
        <v>29</v>
      </c>
      <c r="AD1" s="4">
        <f>COLUMN(Payment_list[[#Headers],[Total_pay]])</f>
        <v>30</v>
      </c>
      <c r="AE1">
        <f t="shared" ref="AE1:AH1" si="0">COLUMN(AE5)</f>
        <v>31</v>
      </c>
      <c r="AF1">
        <f t="shared" si="0"/>
        <v>32</v>
      </c>
      <c r="AG1">
        <f t="shared" si="0"/>
        <v>33</v>
      </c>
      <c r="AH1">
        <f t="shared" si="0"/>
        <v>34</v>
      </c>
      <c r="AI1">
        <f>COLUMN(AI5)</f>
        <v>35</v>
      </c>
      <c r="AJ1">
        <f t="shared" ref="AJ1:AL1" si="1">COLUMN(AJ5)</f>
        <v>36</v>
      </c>
      <c r="AK1">
        <f t="shared" si="1"/>
        <v>37</v>
      </c>
      <c r="AL1">
        <f t="shared" si="1"/>
        <v>38</v>
      </c>
    </row>
    <row r="2" spans="1:40" x14ac:dyDescent="0.3">
      <c r="A2" s="4" t="s">
        <v>20</v>
      </c>
      <c r="B2" s="4" t="s">
        <v>53</v>
      </c>
      <c r="H2" s="4" t="s">
        <v>35</v>
      </c>
      <c r="AH2" s="4" t="s">
        <v>26</v>
      </c>
    </row>
    <row r="3" spans="1:40" x14ac:dyDescent="0.3">
      <c r="A3" s="4" t="s">
        <v>22</v>
      </c>
      <c r="O3" s="4" t="s">
        <v>36</v>
      </c>
      <c r="P3" s="4" t="s">
        <v>37</v>
      </c>
      <c r="Q3" s="4" t="s">
        <v>38</v>
      </c>
      <c r="R3" s="4" t="s">
        <v>39</v>
      </c>
      <c r="S3" s="4" t="s">
        <v>40</v>
      </c>
      <c r="T3" s="4" t="s">
        <v>41</v>
      </c>
      <c r="U3" s="4" t="s">
        <v>42</v>
      </c>
      <c r="V3" s="4" t="s">
        <v>43</v>
      </c>
      <c r="W3" s="4" t="s">
        <v>44</v>
      </c>
      <c r="X3" s="4" t="s">
        <v>45</v>
      </c>
    </row>
    <row r="4" spans="1:40" x14ac:dyDescent="0.3">
      <c r="A4" s="4" t="s">
        <v>21</v>
      </c>
      <c r="O4" s="4" t="s">
        <v>25</v>
      </c>
      <c r="P4" s="4" t="s">
        <v>26</v>
      </c>
      <c r="Q4" s="4" t="s">
        <v>27</v>
      </c>
      <c r="R4" s="4" t="s">
        <v>28</v>
      </c>
      <c r="S4" s="4" t="s">
        <v>29</v>
      </c>
      <c r="T4" s="4" t="s">
        <v>30</v>
      </c>
      <c r="U4" s="4" t="s">
        <v>31</v>
      </c>
      <c r="V4" s="4" t="s">
        <v>32</v>
      </c>
      <c r="W4" s="4" t="s">
        <v>33</v>
      </c>
      <c r="X4" s="4" t="s">
        <v>34</v>
      </c>
      <c r="AC4" s="4" t="s">
        <v>23</v>
      </c>
      <c r="AD4" s="5" t="s">
        <v>24</v>
      </c>
    </row>
    <row r="5" spans="1:40" s="1" customFormat="1" ht="41.4" x14ac:dyDescent="0.3">
      <c r="A5" s="13" t="s">
        <v>56</v>
      </c>
      <c r="B5" s="6" t="s">
        <v>0</v>
      </c>
      <c r="C5" s="7" t="s">
        <v>1</v>
      </c>
      <c r="D5" s="6" t="s">
        <v>2</v>
      </c>
      <c r="E5" s="6" t="s">
        <v>3</v>
      </c>
      <c r="F5" s="6" t="s">
        <v>4</v>
      </c>
      <c r="G5" s="6" t="s">
        <v>5</v>
      </c>
      <c r="H5" s="8" t="s">
        <v>6</v>
      </c>
      <c r="I5" s="6" t="s">
        <v>52</v>
      </c>
      <c r="J5" s="6" t="s">
        <v>7</v>
      </c>
      <c r="K5" s="9" t="s">
        <v>8</v>
      </c>
      <c r="L5" s="29" t="s">
        <v>69</v>
      </c>
      <c r="M5" s="36" t="s">
        <v>54</v>
      </c>
      <c r="N5" s="27" t="s">
        <v>50</v>
      </c>
      <c r="O5" s="14" t="s">
        <v>9</v>
      </c>
      <c r="P5" s="15" t="s">
        <v>10</v>
      </c>
      <c r="Q5" s="16" t="s">
        <v>11</v>
      </c>
      <c r="R5" s="17" t="s">
        <v>12</v>
      </c>
      <c r="S5" s="18" t="s">
        <v>13</v>
      </c>
      <c r="T5" s="14" t="s">
        <v>14</v>
      </c>
      <c r="U5" s="18" t="s">
        <v>15</v>
      </c>
      <c r="V5" s="14" t="s">
        <v>16</v>
      </c>
      <c r="W5" s="19" t="s">
        <v>17</v>
      </c>
      <c r="X5" s="20" t="s">
        <v>18</v>
      </c>
      <c r="Y5" s="10" t="s">
        <v>58</v>
      </c>
      <c r="Z5" s="21" t="s">
        <v>59</v>
      </c>
      <c r="AA5" s="10" t="s">
        <v>60</v>
      </c>
      <c r="AB5" s="24" t="s">
        <v>64</v>
      </c>
      <c r="AC5" s="22" t="s">
        <v>19</v>
      </c>
      <c r="AD5" s="22" t="s">
        <v>63</v>
      </c>
      <c r="AE5" s="23" t="s">
        <v>67</v>
      </c>
      <c r="AF5" s="23" t="s">
        <v>68</v>
      </c>
      <c r="AG5" s="23" t="s">
        <v>62</v>
      </c>
      <c r="AH5" s="11" t="s">
        <v>55</v>
      </c>
    </row>
    <row r="6" spans="1:40" x14ac:dyDescent="0.3">
      <c r="A6" s="30" t="s">
        <v>70</v>
      </c>
      <c r="B6">
        <v>1234</v>
      </c>
      <c r="C6">
        <v>1234</v>
      </c>
      <c r="D6" s="26" t="s">
        <v>74</v>
      </c>
      <c r="E6" t="s">
        <v>75</v>
      </c>
      <c r="F6" t="s">
        <v>76</v>
      </c>
      <c r="G6" t="s">
        <v>77</v>
      </c>
      <c r="H6" t="s">
        <v>78</v>
      </c>
      <c r="I6"/>
      <c r="J6" s="25" t="s">
        <v>51</v>
      </c>
      <c r="K6">
        <v>1234</v>
      </c>
      <c r="L6"/>
      <c r="M6" s="3">
        <v>12345</v>
      </c>
      <c r="N6"/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 t="s">
        <v>65</v>
      </c>
      <c r="AC6">
        <v>3</v>
      </c>
      <c r="AD6">
        <v>0</v>
      </c>
      <c r="AE6">
        <v>0</v>
      </c>
      <c r="AF6">
        <v>0</v>
      </c>
      <c r="AG6">
        <v>0</v>
      </c>
      <c r="AH6" t="s">
        <v>57</v>
      </c>
      <c r="AI6" s="37"/>
      <c r="AJ6" s="37"/>
      <c r="AK6" s="37"/>
      <c r="AL6" s="37"/>
      <c r="AM6" s="37"/>
    </row>
    <row r="7" spans="1:40" x14ac:dyDescent="0.3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9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7"/>
      <c r="AJ7" s="37"/>
      <c r="AK7" s="37"/>
      <c r="AL7" s="37"/>
      <c r="AM7" s="37"/>
    </row>
    <row r="8" spans="1:40" x14ac:dyDescent="0.3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9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7"/>
      <c r="AJ8" s="37"/>
      <c r="AK8" s="37"/>
      <c r="AL8" s="37"/>
      <c r="AM8" s="37"/>
    </row>
    <row r="9" spans="1:40" x14ac:dyDescent="0.3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9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</row>
    <row r="10" spans="1:40" x14ac:dyDescent="0.3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9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7" t="s">
        <v>46</v>
      </c>
      <c r="AJ10" s="37"/>
      <c r="AK10" s="37"/>
      <c r="AL10" s="37"/>
      <c r="AM10" s="37"/>
    </row>
    <row r="11" spans="1:40" x14ac:dyDescent="0.3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9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K11" s="34" t="str">
        <f ca="1">TEXT(TODAY(),"dd-mm-yyyy")</f>
        <v>01-06-2024</v>
      </c>
    </row>
    <row r="12" spans="1:40" x14ac:dyDescent="0.3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9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7" t="s">
        <v>47</v>
      </c>
      <c r="AJ12" s="37"/>
      <c r="AK12" s="37"/>
      <c r="AL12" s="37"/>
      <c r="AM12" s="37"/>
      <c r="AN12" s="30" t="s">
        <v>71</v>
      </c>
    </row>
    <row r="13" spans="1:40" x14ac:dyDescent="0.3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9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J13" s="2" t="s">
        <v>82</v>
      </c>
      <c r="AK13" t="s">
        <v>83</v>
      </c>
      <c r="AL13" t="s">
        <v>84</v>
      </c>
      <c r="AM13" t="s">
        <v>85</v>
      </c>
      <c r="AN13" s="31" t="s">
        <v>86</v>
      </c>
    </row>
    <row r="14" spans="1:40" x14ac:dyDescent="0.3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9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7" t="s">
        <v>48</v>
      </c>
      <c r="AJ14" s="37"/>
      <c r="AK14" s="37"/>
      <c r="AL14" s="37"/>
      <c r="AM14" s="37"/>
    </row>
    <row r="15" spans="1:40" x14ac:dyDescent="0.3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9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K15" s="32" t="s">
        <v>80</v>
      </c>
    </row>
    <row r="16" spans="1:40" x14ac:dyDescent="0.3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9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K16" t="s">
        <v>49</v>
      </c>
    </row>
    <row r="17" spans="1:37" x14ac:dyDescent="0.3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9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K17" s="33" t="s">
        <v>81</v>
      </c>
    </row>
    <row r="18" spans="1:37" x14ac:dyDescent="0.3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9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J18" s="12" t="s">
        <v>61</v>
      </c>
      <c r="AK18" s="12">
        <f>COUNTIF(E:E,"**")-1</f>
        <v>1</v>
      </c>
    </row>
    <row r="19" spans="1:37" x14ac:dyDescent="0.3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9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</row>
    <row r="20" spans="1:37" x14ac:dyDescent="0.3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9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</row>
    <row r="21" spans="1:37" x14ac:dyDescent="0.3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9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J21" s="12" t="s">
        <v>66</v>
      </c>
      <c r="AK21" s="12" cm="1">
        <f t="array" ref="AK21">COUNTA(_xlfn._xlws.FILTER(_xlfn.UNIQUE(Payment_list[Code]),NOT(ISBLANK(_xlfn.UNIQUE(Payment_list[Code])))))</f>
        <v>1</v>
      </c>
    </row>
    <row r="22" spans="1:37" x14ac:dyDescent="0.3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9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</row>
    <row r="23" spans="1:37" x14ac:dyDescent="0.3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9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</row>
    <row r="24" spans="1:37" x14ac:dyDescent="0.3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9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J24" s="12" t="s">
        <v>72</v>
      </c>
    </row>
    <row r="25" spans="1:37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9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J25" t="s">
        <v>79</v>
      </c>
    </row>
    <row r="26" spans="1:37" x14ac:dyDescent="0.3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9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J26" t="str">
        <f ca="1">"Update Data Daily "&amp;AK11 &amp;" เรียบร้อยครับ"</f>
        <v>Update Data Daily 01-06-2024 เรียบร้อยครับ</v>
      </c>
    </row>
    <row r="27" spans="1:37" x14ac:dyDescent="0.3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9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J27" t="s">
        <v>73</v>
      </c>
    </row>
    <row r="28" spans="1:37" x14ac:dyDescent="0.3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9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</row>
    <row r="29" spans="1:37" x14ac:dyDescent="0.3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9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  <c r="AH29" s="38"/>
    </row>
    <row r="30" spans="1:37" x14ac:dyDescent="0.3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9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</row>
    <row r="31" spans="1:37" x14ac:dyDescent="0.3">
      <c r="A31" s="38"/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9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</row>
    <row r="32" spans="1:37" x14ac:dyDescent="0.3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9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</row>
    <row r="33" spans="1:34" x14ac:dyDescent="0.3">
      <c r="A33" s="38"/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9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</row>
    <row r="34" spans="1:34" x14ac:dyDescent="0.3">
      <c r="A34" s="38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9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</row>
    <row r="35" spans="1:34" x14ac:dyDescent="0.3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9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</row>
    <row r="36" spans="1:34" x14ac:dyDescent="0.3">
      <c r="A36"/>
      <c r="B36"/>
      <c r="C36"/>
      <c r="D36"/>
      <c r="E36"/>
      <c r="F36"/>
      <c r="G36"/>
      <c r="H36"/>
      <c r="I36"/>
      <c r="J36"/>
      <c r="K36"/>
      <c r="L36"/>
      <c r="M36" s="3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</row>
    <row r="37" spans="1:34" x14ac:dyDescent="0.3">
      <c r="A37"/>
      <c r="B37"/>
      <c r="C37"/>
      <c r="D37"/>
      <c r="E37"/>
      <c r="F37"/>
      <c r="G37"/>
      <c r="H37"/>
      <c r="I37"/>
      <c r="J37"/>
      <c r="K37"/>
      <c r="L37"/>
      <c r="M37" s="3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</row>
    <row r="38" spans="1:34" x14ac:dyDescent="0.3">
      <c r="A38"/>
      <c r="B38"/>
      <c r="C38"/>
      <c r="D38"/>
      <c r="E38"/>
      <c r="F38"/>
      <c r="G38"/>
      <c r="H38"/>
      <c r="I38"/>
      <c r="J38"/>
      <c r="K38"/>
      <c r="L38"/>
      <c r="M38" s="3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</row>
    <row r="39" spans="1:34" x14ac:dyDescent="0.3">
      <c r="A39"/>
      <c r="B39"/>
      <c r="C39"/>
      <c r="D39"/>
      <c r="E39"/>
      <c r="F39"/>
      <c r="G39"/>
      <c r="H39"/>
      <c r="I39"/>
      <c r="J39"/>
      <c r="K39"/>
      <c r="L39"/>
      <c r="M39" s="3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</row>
    <row r="40" spans="1:34" x14ac:dyDescent="0.3">
      <c r="A40"/>
      <c r="B40"/>
      <c r="C40"/>
      <c r="D40"/>
      <c r="E40"/>
      <c r="F40"/>
      <c r="G40"/>
      <c r="H40"/>
      <c r="I40"/>
      <c r="J40"/>
      <c r="K40"/>
      <c r="L40"/>
      <c r="M40" s="3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</row>
    <row r="41" spans="1:34" x14ac:dyDescent="0.3">
      <c r="A41"/>
      <c r="B41"/>
      <c r="C41"/>
      <c r="D41"/>
      <c r="E41"/>
      <c r="F41"/>
      <c r="G41"/>
      <c r="H41"/>
      <c r="I41"/>
      <c r="J41"/>
      <c r="K41"/>
      <c r="L41"/>
      <c r="M41" s="3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</row>
    <row r="42" spans="1:34" x14ac:dyDescent="0.3">
      <c r="A42"/>
      <c r="B42"/>
      <c r="C42"/>
      <c r="D42"/>
      <c r="E42"/>
      <c r="F42"/>
      <c r="G42"/>
      <c r="H42"/>
      <c r="I42"/>
      <c r="J42"/>
      <c r="K42"/>
      <c r="L42"/>
      <c r="M42" s="3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</row>
    <row r="43" spans="1:34" x14ac:dyDescent="0.3">
      <c r="A43"/>
      <c r="B43"/>
      <c r="C43"/>
      <c r="D43"/>
      <c r="E43"/>
      <c r="F43"/>
      <c r="G43"/>
      <c r="H43"/>
      <c r="I43"/>
      <c r="J43"/>
      <c r="K43"/>
      <c r="L43"/>
      <c r="M43" s="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</row>
    <row r="44" spans="1:34" x14ac:dyDescent="0.3">
      <c r="A44"/>
      <c r="B44"/>
      <c r="C44"/>
      <c r="D44"/>
      <c r="E44"/>
      <c r="F44"/>
      <c r="G44"/>
      <c r="H44"/>
      <c r="I44"/>
      <c r="J44"/>
      <c r="K44"/>
      <c r="L44"/>
      <c r="M44" s="3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</row>
    <row r="45" spans="1:34" x14ac:dyDescent="0.3">
      <c r="A45"/>
      <c r="B45"/>
      <c r="C45"/>
      <c r="D45"/>
      <c r="E45"/>
      <c r="F45"/>
      <c r="G45"/>
      <c r="H45"/>
      <c r="I45"/>
      <c r="J45"/>
      <c r="K45"/>
      <c r="L45"/>
      <c r="M45" s="3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</row>
    <row r="46" spans="1:34" x14ac:dyDescent="0.3">
      <c r="A46"/>
      <c r="B46"/>
      <c r="C46"/>
      <c r="D46"/>
      <c r="E46"/>
      <c r="F46"/>
      <c r="G46"/>
      <c r="H46"/>
      <c r="I46"/>
      <c r="J46"/>
      <c r="K46"/>
      <c r="L46"/>
      <c r="M46" s="3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</row>
    <row r="47" spans="1:34" x14ac:dyDescent="0.3">
      <c r="A47"/>
      <c r="B47"/>
      <c r="C47"/>
      <c r="D47"/>
      <c r="E47"/>
      <c r="F47"/>
      <c r="G47"/>
      <c r="H47"/>
      <c r="I47"/>
      <c r="J47"/>
      <c r="K47"/>
      <c r="L47"/>
      <c r="M47" s="3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</row>
    <row r="48" spans="1:34" x14ac:dyDescent="0.3">
      <c r="A48"/>
      <c r="B48"/>
      <c r="C48"/>
      <c r="D48"/>
      <c r="E48"/>
      <c r="F48"/>
      <c r="G48"/>
      <c r="H48"/>
      <c r="I48"/>
      <c r="J48"/>
      <c r="K48"/>
      <c r="L48"/>
      <c r="M48" s="3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</row>
    <row r="49" spans="13:13" customFormat="1" x14ac:dyDescent="0.3">
      <c r="M49" s="3"/>
    </row>
    <row r="50" spans="13:13" customFormat="1" x14ac:dyDescent="0.3">
      <c r="M50" s="3"/>
    </row>
    <row r="51" spans="13:13" customFormat="1" x14ac:dyDescent="0.3">
      <c r="M51" s="3"/>
    </row>
    <row r="52" spans="13:13" customFormat="1" x14ac:dyDescent="0.3">
      <c r="M52" s="3"/>
    </row>
    <row r="53" spans="13:13" customFormat="1" x14ac:dyDescent="0.3">
      <c r="M53" s="3"/>
    </row>
    <row r="54" spans="13:13" customFormat="1" x14ac:dyDescent="0.3">
      <c r="M54" s="3"/>
    </row>
    <row r="55" spans="13:13" customFormat="1" x14ac:dyDescent="0.3">
      <c r="M55" s="3"/>
    </row>
    <row r="56" spans="13:13" customFormat="1" x14ac:dyDescent="0.3">
      <c r="M56" s="3"/>
    </row>
    <row r="57" spans="13:13" customFormat="1" x14ac:dyDescent="0.3">
      <c r="M57" s="3"/>
    </row>
    <row r="58" spans="13:13" customFormat="1" x14ac:dyDescent="0.3">
      <c r="M58" s="3"/>
    </row>
    <row r="59" spans="13:13" customFormat="1" x14ac:dyDescent="0.3">
      <c r="M59" s="3"/>
    </row>
    <row r="60" spans="13:13" customFormat="1" x14ac:dyDescent="0.3">
      <c r="M60" s="3"/>
    </row>
    <row r="61" spans="13:13" customFormat="1" x14ac:dyDescent="0.3">
      <c r="M61" s="3"/>
    </row>
    <row r="62" spans="13:13" customFormat="1" x14ac:dyDescent="0.3">
      <c r="M62" s="3"/>
    </row>
    <row r="63" spans="13:13" customFormat="1" x14ac:dyDescent="0.3">
      <c r="M63" s="3"/>
    </row>
    <row r="64" spans="13:13" customFormat="1" x14ac:dyDescent="0.3">
      <c r="M64" s="3"/>
    </row>
    <row r="65" spans="13:13" customFormat="1" x14ac:dyDescent="0.3">
      <c r="M65" s="3"/>
    </row>
    <row r="66" spans="13:13" customFormat="1" x14ac:dyDescent="0.3">
      <c r="M66" s="3"/>
    </row>
    <row r="67" spans="13:13" customFormat="1" x14ac:dyDescent="0.3">
      <c r="M67" s="3"/>
    </row>
    <row r="68" spans="13:13" customFormat="1" x14ac:dyDescent="0.3">
      <c r="M68" s="3"/>
    </row>
    <row r="69" spans="13:13" customFormat="1" x14ac:dyDescent="0.3">
      <c r="M69" s="3"/>
    </row>
    <row r="70" spans="13:13" customFormat="1" x14ac:dyDescent="0.3">
      <c r="M70" s="3"/>
    </row>
    <row r="71" spans="13:13" customFormat="1" x14ac:dyDescent="0.3">
      <c r="M71" s="3"/>
    </row>
    <row r="72" spans="13:13" customFormat="1" x14ac:dyDescent="0.3">
      <c r="M72" s="3"/>
    </row>
    <row r="73" spans="13:13" customFormat="1" x14ac:dyDescent="0.3">
      <c r="M73" s="3"/>
    </row>
    <row r="74" spans="13:13" customFormat="1" x14ac:dyDescent="0.3">
      <c r="M74" s="3"/>
    </row>
    <row r="75" spans="13:13" customFormat="1" x14ac:dyDescent="0.3">
      <c r="M75" s="3"/>
    </row>
  </sheetData>
  <mergeCells count="4">
    <mergeCell ref="AI6:AM8"/>
    <mergeCell ref="AI10:AM10"/>
    <mergeCell ref="AI12:AM12"/>
    <mergeCell ref="AI14:AM14"/>
  </mergeCells>
  <phoneticPr fontId="5" type="noConversion"/>
  <conditionalFormatting sqref="B76:B1048576 B1:B5">
    <cfRule type="duplicateValues" dxfId="2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Hold_Cutting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Paramut Chanthakan (Alpha)</dc:creator>
  <cp:lastModifiedBy>Paramut Chanthakan (Alpha)</cp:lastModifiedBy>
  <dcterms:created xsi:type="dcterms:W3CDTF">2024-01-25T09:50:25Z</dcterms:created>
  <dcterms:modified xsi:type="dcterms:W3CDTF">2024-06-01T07:48:36Z</dcterms:modified>
</cp:coreProperties>
</file>